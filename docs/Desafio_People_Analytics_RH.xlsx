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tic\Downloads\"/>
    </mc:Choice>
  </mc:AlternateContent>
  <xr:revisionPtr revIDLastSave="0" documentId="13_ncr:1_{37217169-4287-48E8-9D72-706B4F851D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ções do Desafio" sheetId="1" r:id="rId1"/>
    <sheet name="PLANILHA" sheetId="4" r:id="rId2"/>
    <sheet name="ANÁLISE" sheetId="3" r:id="rId3"/>
  </sheets>
  <definedNames>
    <definedName name="DadosExternos_1" localSheetId="1" hidden="1">PLANILHA!$A$1:$J$14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D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668D1-D10A-4F96-B2ED-1BD4C67CD9FE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<sst xmlns="http://schemas.openxmlformats.org/spreadsheetml/2006/main" count="128" uniqueCount="79">
  <si>
    <t>Desafio de Excel - People Analytics (Recursos Humanos)</t>
  </si>
  <si>
    <t>Base de Dados focada em Gestão de Talentos | Data: 29/06/2026</t>
  </si>
  <si>
    <t>1. Tratamento de Dados (Aba 'Dados_Colaboradores')</t>
  </si>
  <si>
    <t>Identifique e trate os problemas intencionais na base:</t>
  </si>
  <si>
    <t>- Remoção de cadastros duplicados (IDs repetidos).</t>
  </si>
  <si>
    <t>- Correção de salários nulos ou zerados (calcular com base no cargo ou média).</t>
  </si>
  <si>
    <t>- Padronização de textos (Departamentos com grafias diferentes ou espaços extras).</t>
  </si>
  <si>
    <t>- Formatação de datas de admissão inconsistentes.</t>
  </si>
  <si>
    <t>- Transforme o intervalo final em TABELA (Ctrl + T) para habilitar referências estruturadas.</t>
  </si>
  <si>
    <t>2. KPIs Sugeridos (Aba 'Dashboard')</t>
  </si>
  <si>
    <t>Calcule 2 indicadores estratégicos de RH, como:</t>
  </si>
  <si>
    <t>- Folha Salarial Total | - Salário Médio (Ticket Médio de Remuneração)</t>
  </si>
  <si>
    <t>- Headcount Total (Quantidade de Colaboradores Ativos) | - Tempo Médio de Casa (em anos)</t>
  </si>
  <si>
    <t>3. Tabelas Dinâmicas e Gráficos</t>
  </si>
  <si>
    <t>Crie 3 análises visuais cruzadas usando tipos diferentes de gráficos:</t>
  </si>
  <si>
    <t>- Distribuição de Headcount ou Folha por Departamento (ex: Gráfico de Colunas ou Barras).</t>
  </si>
  <si>
    <t>- Relação entre Nível de Escolaridade/Cargo e Salários (ex: Gráfico de Linhas ou Rosca).</t>
  </si>
  <si>
    <t>- Total de colaboradores por Tipo de Contrato ou Região de Trabalho.</t>
  </si>
  <si>
    <t>4. Segmentação de Dados (Slicer)</t>
  </si>
  <si>
    <t>Adicione 1 ou mais segmentações (ex: Filtrar por Status, Região ou Departamento).</t>
  </si>
  <si>
    <t>5. Automação (VBA)</t>
  </si>
  <si>
    <t>Crie um botão associado a uma macro que limpa os filtros aplicados e atualiza o report.</t>
  </si>
  <si>
    <t>ID_Colaborador</t>
  </si>
  <si>
    <t>Nome</t>
  </si>
  <si>
    <t>Data_Admissao</t>
  </si>
  <si>
    <t>Cargo</t>
  </si>
  <si>
    <t>Nivel</t>
  </si>
  <si>
    <t>Departamento</t>
  </si>
  <si>
    <t>Salario_Base</t>
  </si>
  <si>
    <t>Regiao</t>
  </si>
  <si>
    <t>Status</t>
  </si>
  <si>
    <t>Avaliacao_Desempenho</t>
  </si>
  <si>
    <t>Lucas Almeida</t>
  </si>
  <si>
    <t>Analista de Dados</t>
  </si>
  <si>
    <t>Pleno</t>
  </si>
  <si>
    <t>Tecnologia</t>
  </si>
  <si>
    <t>São Paulo</t>
  </si>
  <si>
    <t>Ativo</t>
  </si>
  <si>
    <t>Mariana Silva</t>
  </si>
  <si>
    <t>Coordenador de RH</t>
  </si>
  <si>
    <t>Sênior</t>
  </si>
  <si>
    <t>Recursos Humanos</t>
  </si>
  <si>
    <t>Rio de Janeiro</t>
  </si>
  <si>
    <t>Roberto Souza</t>
  </si>
  <si>
    <t>Desenvolvedor Software</t>
  </si>
  <si>
    <t>Minas Gerais</t>
  </si>
  <si>
    <t>Fernanda Lima</t>
  </si>
  <si>
    <t>Analista Financeiro</t>
  </si>
  <si>
    <t>Junior</t>
  </si>
  <si>
    <t xml:space="preserve"> Financeiro </t>
  </si>
  <si>
    <t>Ricardo Santos</t>
  </si>
  <si>
    <t>Gerente de Vendas</t>
  </si>
  <si>
    <t>Comercial</t>
  </si>
  <si>
    <t>Recife</t>
  </si>
  <si>
    <t>Beatriz Costa</t>
  </si>
  <si>
    <t>Assistente Adm</t>
  </si>
  <si>
    <t>Administrativo</t>
  </si>
  <si>
    <t>Desligado</t>
  </si>
  <si>
    <t>João Pedro</t>
  </si>
  <si>
    <t>Camila Rodrigues</t>
  </si>
  <si>
    <t>Designer UX</t>
  </si>
  <si>
    <t>Marketing</t>
  </si>
  <si>
    <t>Pedro Henrique</t>
  </si>
  <si>
    <t>Analista de RH</t>
  </si>
  <si>
    <t>Amanda Melo</t>
  </si>
  <si>
    <t>Gabriel Jesus</t>
  </si>
  <si>
    <t>Especialista Marketing</t>
  </si>
  <si>
    <t>Juliana Paes</t>
  </si>
  <si>
    <t>Diretor Comercial</t>
  </si>
  <si>
    <t>Diretoria</t>
  </si>
  <si>
    <t>Bruno Gagliasso</t>
  </si>
  <si>
    <t>Quantidade ativos</t>
  </si>
  <si>
    <t>Quantidade de Desligados</t>
  </si>
  <si>
    <t>ANÁLISE DE EMPRESA POR RH</t>
  </si>
  <si>
    <t>Média Avaliação Desempenho</t>
  </si>
  <si>
    <t>Profissão</t>
  </si>
  <si>
    <t>Sálario Base</t>
  </si>
  <si>
    <t>Região</t>
  </si>
  <si>
    <t>Sálario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</si>
</sst>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6"/>
      <color rgb="FF2D5A27"/>
      <name val="Calibri"/>
    </font>
    <font>
      <i/>
      <sz val="11"/>
      <color rgb="FF595959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NumberFormat="1"/>
    <xf numFmtId="14" fontId="0" fillId="0" borderId="0" xfId="0" applyNumberFormat="1"/>
    <xf numFmtId="0" fontId="0" fillId="3" borderId="0" xfId="0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4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5" fillId="5" borderId="0" xfId="0" applyFont="1" applyFill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112"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4" formatCode="_-&quot;R$&quot;\ * #,##0.00_-;\-&quot;R$&quot;\ * #,##0.00_-;_-&quot;R$&quot;\ * &quot;-&quot;??_-;_-@_-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[Desafio_People_Analytics_RH.xlsx]ANÁLISE!Tabela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Sálario Base por Profissão</a:t>
            </a:r>
          </a:p>
        </c:rich>
      </c:tx>
      <c:layout>
        <c:manualLayout>
          <c:xMode val="edge"/>
          <c:yMode val="edge"/>
          <c:x val="0.28809908454496502"/>
          <c:y val="4.9267831420062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3786566259185297E-2"/>
          <c:y val="0.20689970571860333"/>
          <c:w val="0.94953951636497758"/>
          <c:h val="0.60752626881235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ANÁLISE!$B$12:$B$17</c:f>
              <c:strCache>
                <c:ptCount val="6"/>
                <c:pt idx="0">
                  <c:v> Financeiro </c:v>
                </c:pt>
                <c:pt idx="1">
                  <c:v>Administrativo</c:v>
                </c:pt>
                <c:pt idx="2">
                  <c:v>Comercial</c:v>
                </c:pt>
                <c:pt idx="3">
                  <c:v>Marketing</c:v>
                </c:pt>
                <c:pt idx="4">
                  <c:v>Recursos Humanos</c:v>
                </c:pt>
                <c:pt idx="5">
                  <c:v>Tecnologia</c:v>
                </c:pt>
              </c:strCache>
            </c:strRef>
          </c:cat>
          <c:val>
            <c:numRef>
              <c:f>ANÁLISE!$C$12:$C$17</c:f>
              <c:numCache>
                <c:formatCode>_("R$"* #,##0.00_);_("R$"* \(#,##0.00\);_("R$"* "-"??_);_(@_)</c:formatCode>
                <c:ptCount val="6"/>
                <c:pt idx="0">
                  <c:v>4500</c:v>
                </c:pt>
                <c:pt idx="1">
                  <c:v>5600</c:v>
                </c:pt>
                <c:pt idx="2">
                  <c:v>30000</c:v>
                </c:pt>
                <c:pt idx="3">
                  <c:v>14700</c:v>
                </c:pt>
                <c:pt idx="4">
                  <c:v>14500</c:v>
                </c:pt>
                <c:pt idx="5">
                  <c:v>22100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1DD-AB5D-29DDB036D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2452351"/>
        <c:axId val="559848863"/>
      </c:barChart>
      <c:catAx>
        <c:axId val="6324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848863"/>
        <c:crosses val="autoZero"/>
        <c:auto val="1"/>
        <c:lblAlgn val="ctr"/>
        <c:lblOffset val="100"/>
        <c:noMultiLvlLbl val="0"/>
      </c:catAx>
      <c:valAx>
        <c:axId val="55984886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324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[Desafio_People_Analytics_RH.xlsx]ANÁLISE!Tabela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Sálario</a:t>
            </a:r>
            <a:r>
              <a:rPr lang="pt-BR" b="1" baseline="0"/>
              <a:t> Por Região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0" rIns="38100" bIns="72000" anchor="t" anchorCtr="0">
              <a:spAutoFit/>
            </a:bodyPr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6000" tIns="0" rIns="38100" bIns="72000" anchor="t" anchorCtr="0">
                <a:spAutoFit/>
              </a:bodyPr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CA68900-9352-4BBF-BA5A-89EAE1F023FA}" type="VALUE">
                  <a:rPr lang="en-US" b="0"/>
                  <a:pPr algn="ctr">
                    <a:defRPr sz="1000" b="0"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0" rIns="38100" bIns="72000" anchor="t" anchorCtr="0">
              <a:spAutoFit/>
            </a:bodyPr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fld id="{ACA68900-9352-4BBF-BA5A-89EAE1F023FA}" type="VALUE">
                      <a:rPr lang="en-US" b="0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69B-48EF-A742-440C8768C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72000" anchor="t" anchorCtr="0">
                <a:spAutoFit/>
              </a:bodyPr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ANÁLISE!$G$12:$G$15</c:f>
              <c:strCache>
                <c:ptCount val="4"/>
                <c:pt idx="0">
                  <c:v>Minas Gerais</c:v>
                </c:pt>
                <c:pt idx="1">
                  <c:v>Recife</c:v>
                </c:pt>
                <c:pt idx="2">
                  <c:v>Rio de Janeiro</c:v>
                </c:pt>
                <c:pt idx="3">
                  <c:v>São Paulo</c:v>
                </c:pt>
              </c:strCache>
            </c:strRef>
          </c:cat>
          <c:val>
            <c:numRef>
              <c:f>ANÁLISE!$H$12:$H$15</c:f>
              <c:numCache>
                <c:formatCode>_("R$"* #,##0.00_);_("R$"* \(#,##0.00\);_("R$"* "-"??_);_(@_)</c:formatCode>
                <c:ptCount val="4"/>
                <c:pt idx="0">
                  <c:v>12200</c:v>
                </c:pt>
                <c:pt idx="1">
                  <c:v>23700</c:v>
                </c:pt>
                <c:pt idx="2">
                  <c:v>18100</c:v>
                </c:pt>
                <c:pt idx="3">
                  <c:v>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B-48EF-A742-440C8768C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35871"/>
        <c:axId val="2137967551"/>
      </c:barChart>
      <c:catAx>
        <c:axId val="142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7967551"/>
        <c:crosses val="autoZero"/>
        <c:auto val="1"/>
        <c:lblAlgn val="ctr"/>
        <c:lblOffset val="100"/>
        <c:noMultiLvlLbl val="0"/>
      </c:catAx>
      <c:valAx>
        <c:axId val="213796755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23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18</xdr:row>
      <xdr:rowOff>7620</xdr:rowOff>
    </xdr:from>
    <xdr:to>
      <xdr:col>3</xdr:col>
      <xdr:colOff>1607820</xdr:colOff>
      <xdr:row>30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F4C1B1-CF45-55C8-269D-A0763677F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891540</xdr:colOff>
      <xdr:row>18</xdr:row>
      <xdr:rowOff>60960</xdr:rowOff>
    </xdr:from>
    <xdr:to>
      <xdr:col>8</xdr:col>
      <xdr:colOff>137160</xdr:colOff>
      <xdr:row>31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A3F589-9694-19CD-963B-52E86920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ticya Anielle" refreshedDate="46202.851162384257" createdVersion="8" refreshedVersion="8" minRefreshableVersion="3" recordCount="13" xr:uid="{E45FFA7B-F9E0-47D1-A74F-E7CFD9E7A9DD}">
  <cacheSource type="worksheet">
    <worksheetSource name="Planilha1"/>
  </cacheSource>
  <cacheFields count="13">
    <cacheField name="ID_Colaborador" numFmtId="0">
      <sharedItems containsSemiMixedTypes="0" containsString="0" containsNumber="1" containsInteger="1" minValue="101" maxValue="113"/>
    </cacheField>
    <cacheField name="Nome" numFmtId="0">
      <sharedItems count="13">
        <s v="Lucas Almeida"/>
        <s v="Mariana Silva"/>
        <s v="Roberto Souza"/>
        <s v="Fernanda Lima"/>
        <s v="Ricardo Santos"/>
        <s v="Beatriz Costa"/>
        <s v="João Pedro"/>
        <s v="Camila Rodrigues"/>
        <s v="Pedro Henrique"/>
        <s v="Amanda Melo"/>
        <s v="Gabriel Jesus"/>
        <s v="Juliana Paes"/>
        <s v="Bruno Gagliasso"/>
      </sharedItems>
    </cacheField>
    <cacheField name="Data_Admissao" numFmtId="14">
      <sharedItems containsSemiMixedTypes="0" containsNonDate="0" containsDate="1" containsString="0" minDate="2020-05-18T00:00:00" maxDate="2025-01-16T00:00:00" count="13">
        <d v="2022-03-15T00:00:00"/>
        <d v="2023-01-10T00:00:00"/>
        <d v="2021-05-18T00:00:00"/>
        <d v="2024-02-01T00:00:00"/>
        <d v="2020-11-20T00:00:00"/>
        <d v="2023-07-01T00:00:00"/>
        <d v="2025-01-15T00:00:00"/>
        <d v="2021-09-05T00:00:00"/>
        <d v="2022-11-12T00:00:00"/>
        <d v="2024-04-02T00:00:00"/>
        <d v="2023-03-20T00:00:00"/>
        <d v="2020-05-18T00:00:00"/>
        <d v="2024-08-11T00:00:00"/>
      </sharedItems>
      <fieldGroup par="12"/>
    </cacheField>
    <cacheField name="Cargo" numFmtId="0">
      <sharedItems count="10">
        <s v="Analista de Dados"/>
        <s v="Coordenador de RH"/>
        <s v="Desenvolvedor Software"/>
        <s v="Analista Financeiro"/>
        <s v="Gerente de Vendas"/>
        <s v="Assistente Adm"/>
        <s v="Designer UX"/>
        <s v="Analista de RH"/>
        <s v="Especialista Marketing"/>
        <s v="Diretor Comercial"/>
      </sharedItems>
    </cacheField>
    <cacheField name="Nivel" numFmtId="0">
      <sharedItems count="4">
        <s v="Pleno"/>
        <s v="Sênior"/>
        <s v="Junior"/>
        <s v="Diretoria"/>
      </sharedItems>
    </cacheField>
    <cacheField name="Departamento" numFmtId="0">
      <sharedItems count="6">
        <s v="Tecnologia"/>
        <s v="Recursos Humanos"/>
        <s v=" Financeiro "/>
        <s v="Comercial"/>
        <s v="Administrativo"/>
        <s v="Marketing"/>
      </sharedItems>
    </cacheField>
    <cacheField name="Salario_Base" numFmtId="0">
      <sharedItems containsSemiMixedTypes="0" containsString="0" containsNumber="1" containsInteger="1" minValue="2800" maxValue="18000"/>
    </cacheField>
    <cacheField name="Regiao" numFmtId="0">
      <sharedItems count="4">
        <s v="São Paulo"/>
        <s v="Rio de Janeiro"/>
        <s v="Minas Gerais"/>
        <s v="Recife"/>
      </sharedItems>
    </cacheField>
    <cacheField name="Status" numFmtId="0">
      <sharedItems/>
    </cacheField>
    <cacheField name="Avaliacao_Desempenho" numFmtId="0">
      <sharedItems containsSemiMixedTypes="0" containsString="0" containsNumber="1" minValue="3.5" maxValue="4.9000000000000004"/>
    </cacheField>
    <cacheField name="Meses (Data_Admissao)" numFmtId="0" databaseField="0">
      <fieldGroup base="2">
        <rangePr groupBy="months" startDate="2020-05-18T00:00:00" endDate="2025-01-16T00:00:00"/>
        <groupItems count="14">
          <s v="&lt;18/05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1/2025"/>
        </groupItems>
      </fieldGroup>
    </cacheField>
    <cacheField name="Trimestres (Data_Admissao)" numFmtId="0" databaseField="0">
      <fieldGroup base="2">
        <rangePr groupBy="quarters" startDate="2020-05-18T00:00:00" endDate="2025-01-16T00:00:00"/>
        <groupItems count="6">
          <s v="&lt;18/05/2020"/>
          <s v="Trim1"/>
          <s v="Trim2"/>
          <s v="Trim3"/>
          <s v="Trim4"/>
          <s v="&gt;16/01/2025"/>
        </groupItems>
      </fieldGroup>
    </cacheField>
    <cacheField name="Anos (Data_Admissao)" numFmtId="0" databaseField="0">
      <fieldGroup base="2">
        <rangePr groupBy="years" startDate="2020-05-18T00:00:00" endDate="2025-01-16T00:00:00"/>
        <groupItems count="8">
          <s v="&lt;18/05/2020"/>
          <s v="2020"/>
          <s v="2021"/>
          <s v="2022"/>
          <s v="2023"/>
          <s v="2024"/>
          <s v="2025"/>
          <s v="&gt;16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1"/>
    <x v="0"/>
    <x v="0"/>
    <x v="0"/>
    <x v="0"/>
    <x v="0"/>
    <n v="6500"/>
    <x v="0"/>
    <s v="Ativo"/>
    <n v="4.2"/>
  </r>
  <r>
    <n v="102"/>
    <x v="1"/>
    <x v="1"/>
    <x v="1"/>
    <x v="1"/>
    <x v="1"/>
    <n v="9500"/>
    <x v="1"/>
    <s v="Ativo"/>
    <n v="4.8"/>
  </r>
  <r>
    <n v="103"/>
    <x v="2"/>
    <x v="2"/>
    <x v="2"/>
    <x v="0"/>
    <x v="0"/>
    <n v="7200"/>
    <x v="2"/>
    <s v="Ativo"/>
    <n v="3.9"/>
  </r>
  <r>
    <n v="104"/>
    <x v="3"/>
    <x v="3"/>
    <x v="3"/>
    <x v="2"/>
    <x v="2"/>
    <n v="4500"/>
    <x v="0"/>
    <s v="Ativo"/>
    <n v="4"/>
  </r>
  <r>
    <n v="105"/>
    <x v="4"/>
    <x v="4"/>
    <x v="4"/>
    <x v="1"/>
    <x v="3"/>
    <n v="12000"/>
    <x v="3"/>
    <s v="Ativo"/>
    <n v="4.5"/>
  </r>
  <r>
    <n v="106"/>
    <x v="5"/>
    <x v="5"/>
    <x v="5"/>
    <x v="2"/>
    <x v="4"/>
    <n v="2800"/>
    <x v="3"/>
    <s v="Desligado"/>
    <n v="3.5"/>
  </r>
  <r>
    <n v="107"/>
    <x v="6"/>
    <x v="6"/>
    <x v="0"/>
    <x v="2"/>
    <x v="0"/>
    <n v="4200"/>
    <x v="0"/>
    <s v="Ativo"/>
    <n v="4.0999999999999996"/>
  </r>
  <r>
    <n v="108"/>
    <x v="7"/>
    <x v="7"/>
    <x v="6"/>
    <x v="0"/>
    <x v="5"/>
    <n v="5800"/>
    <x v="1"/>
    <s v="Ativo"/>
    <n v="4.5999999999999996"/>
  </r>
  <r>
    <n v="109"/>
    <x v="8"/>
    <x v="8"/>
    <x v="7"/>
    <x v="0"/>
    <x v="1"/>
    <n v="5000"/>
    <x v="2"/>
    <s v="Ativo"/>
    <n v="4.3"/>
  </r>
  <r>
    <n v="110"/>
    <x v="9"/>
    <x v="9"/>
    <x v="2"/>
    <x v="2"/>
    <x v="0"/>
    <n v="4200"/>
    <x v="0"/>
    <s v="Ativo"/>
    <n v="3.8"/>
  </r>
  <r>
    <n v="111"/>
    <x v="10"/>
    <x v="10"/>
    <x v="8"/>
    <x v="1"/>
    <x v="5"/>
    <n v="8900"/>
    <x v="3"/>
    <s v="Ativo"/>
    <n v="4.7"/>
  </r>
  <r>
    <n v="112"/>
    <x v="11"/>
    <x v="11"/>
    <x v="9"/>
    <x v="3"/>
    <x v="3"/>
    <n v="18000"/>
    <x v="0"/>
    <s v="Ativo"/>
    <n v="4.9000000000000004"/>
  </r>
  <r>
    <n v="113"/>
    <x v="12"/>
    <x v="12"/>
    <x v="5"/>
    <x v="2"/>
    <x v="4"/>
    <n v="2800"/>
    <x v="1"/>
    <s v="Ativo"/>
    <n v="3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E5777-1C6C-4AB6-A523-CA9912214AEB}" name="Tabela dinâmica3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 rowHeaderCaption="Região">
  <location ref="G11:H15" firstHeaderRow="1" firstDataRow="1" firstDataCol="1"/>
  <pivotFields count="13">
    <pivotField showAll="0"/>
    <pivotField showAll="0">
      <items count="14">
        <item x="9"/>
        <item x="5"/>
        <item x="12"/>
        <item x="7"/>
        <item x="3"/>
        <item x="10"/>
        <item x="6"/>
        <item x="11"/>
        <item x="0"/>
        <item x="1"/>
        <item x="8"/>
        <item x="4"/>
        <item x="2"/>
        <item t="default"/>
      </items>
    </pivotField>
    <pivotField numFmtId="14" showAll="0">
      <items count="14">
        <item x="11"/>
        <item x="4"/>
        <item x="2"/>
        <item x="7"/>
        <item x="0"/>
        <item x="8"/>
        <item x="1"/>
        <item x="10"/>
        <item x="5"/>
        <item x="3"/>
        <item x="9"/>
        <item x="12"/>
        <item x="6"/>
        <item t="default"/>
      </items>
    </pivotField>
    <pivotField showAll="0">
      <items count="11">
        <item x="0"/>
        <item x="7"/>
        <item x="3"/>
        <item x="5"/>
        <item x="1"/>
        <item x="2"/>
        <item x="6"/>
        <item x="9"/>
        <item x="8"/>
        <item x="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álario" fld="6" baseField="0" baseItem="0" numFmtId="4"/>
  </dataFields>
  <formats count="13">
    <format dxfId="99">
      <pivotArea type="all" dataOnly="0" outline="0" fieldPosition="0"/>
    </format>
    <format dxfId="100">
      <pivotArea outline="0" collapsedLevelsAreSubtotals="1" fieldPosition="0"/>
    </format>
    <format dxfId="101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7" type="button" dataOnly="0" labelOnly="1" outline="0" axis="axisRow" fieldPosition="0"/>
    </format>
    <format dxfId="94">
      <pivotArea dataOnly="0" labelOnly="1" fieldPosition="0">
        <references count="1">
          <reference field="7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7" count="0"/>
        </references>
      </pivotArea>
    </format>
    <format dxfId="90">
      <pivotArea dataOnly="0" fieldPosition="0">
        <references count="1">
          <reference field="7" count="0"/>
        </references>
      </pivotArea>
    </format>
    <format dxfId="58">
      <pivotArea field="7" type="button" dataOnly="0" labelOnly="1" outline="0" axis="axisRow" fieldPosition="0"/>
    </format>
    <format dxfId="45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8DC36-9410-44C2-A795-72CC264AAA23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E13" firstHeaderRow="1" firstDataRow="1" firstDataCol="0"/>
  <pivotFields count="13">
    <pivotField showAll="0"/>
    <pivotField showAll="0">
      <items count="14">
        <item x="9"/>
        <item x="5"/>
        <item x="12"/>
        <item x="7"/>
        <item x="3"/>
        <item x="10"/>
        <item x="6"/>
        <item x="11"/>
        <item x="0"/>
        <item x="1"/>
        <item x="8"/>
        <item x="4"/>
        <item x="2"/>
        <item t="default"/>
      </items>
    </pivotField>
    <pivotField numFmtId="14" showAll="0">
      <items count="14">
        <item x="11"/>
        <item x="4"/>
        <item x="2"/>
        <item x="7"/>
        <item x="0"/>
        <item x="8"/>
        <item x="1"/>
        <item x="10"/>
        <item x="5"/>
        <item x="3"/>
        <item x="9"/>
        <item x="12"/>
        <item x="6"/>
        <item t="default"/>
      </items>
    </pivotField>
    <pivotField showAll="0">
      <items count="11">
        <item x="0"/>
        <item x="7"/>
        <item x="3"/>
        <item x="5"/>
        <item x="1"/>
        <item x="2"/>
        <item x="6"/>
        <item x="9"/>
        <item x="8"/>
        <item x="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Items count="1">
    <i/>
  </rowItems>
  <colItems count="1">
    <i/>
  </colItems>
  <dataFields count="1">
    <dataField name="Média Avaliação Desempenho" fld="9" subtotal="average" baseField="0" baseItem="0" numFmtId="2"/>
  </dataFields>
  <formats count="4"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63F7A-C791-4DDB-979C-BAB387B9A162}" name="Tabela dinâmica1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 rowHeaderCaption="Profissão">
  <location ref="B11:C17" firstHeaderRow="1" firstDataRow="1" firstDataCol="1"/>
  <pivotFields count="13">
    <pivotField showAll="0"/>
    <pivotField showAll="0"/>
    <pivotField numFmtId="14" showAll="0">
      <items count="14">
        <item x="11"/>
        <item x="4"/>
        <item x="2"/>
        <item x="7"/>
        <item x="0"/>
        <item x="8"/>
        <item x="1"/>
        <item x="10"/>
        <item x="5"/>
        <item x="3"/>
        <item x="9"/>
        <item x="12"/>
        <item x="6"/>
        <item t="default"/>
      </items>
    </pivotField>
    <pivotField showAll="0"/>
    <pivotField showAll="0"/>
    <pivotField axis="axisRow" showAll="0">
      <items count="7">
        <item x="2"/>
        <item x="4"/>
        <item x="3"/>
        <item x="5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álario Base" fld="6" baseField="0" baseItem="0"/>
  </dataFields>
  <formats count="5">
    <format dxfId="98">
      <pivotArea collapsedLevelsAreSubtotals="1" fieldPosition="0">
        <references count="1">
          <reference field="5" count="0"/>
        </references>
      </pivotArea>
    </format>
    <format dxfId="89">
      <pivotArea outline="0" collapsedLevelsAreSubtotals="1" fieldPosition="0"/>
    </format>
    <format dxfId="88">
      <pivotArea dataOnly="0" labelOnly="1" fieldPosition="0">
        <references count="1">
          <reference field="5" count="0"/>
        </references>
      </pivotArea>
    </format>
    <format dxfId="79">
      <pivotArea field="5" type="button" dataOnly="0" labelOnly="1" outline="0" axis="axisRow" fieldPosition="0"/>
    </format>
    <format dxfId="76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CBCDB41-521C-437F-BAA9-BEA65C410225}" autoFormatId="16" applyNumberFormats="0" applyBorderFormats="0" applyFontFormats="0" applyPatternFormats="0" applyAlignmentFormats="0" applyWidthHeightFormats="0">
  <queryTableRefresh nextId="11">
    <queryTableFields count="10">
      <queryTableField id="1" name="ID_Colaborador" tableColumnId="1"/>
      <queryTableField id="2" name="Nome" tableColumnId="2"/>
      <queryTableField id="3" name="Data_Admissao" tableColumnId="3"/>
      <queryTableField id="4" name="Cargo" tableColumnId="4"/>
      <queryTableField id="5" name="Nivel" tableColumnId="5"/>
      <queryTableField id="6" name="Departamento" tableColumnId="6"/>
      <queryTableField id="7" name="Salario_Base" tableColumnId="7"/>
      <queryTableField id="8" name="Regiao" tableColumnId="8"/>
      <queryTableField id="9" name="Status" tableColumnId="9"/>
      <queryTableField id="10" name="Avaliacao_Desempenh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894FF-0D7D-4E10-8B62-CE7257194A90}" name="Planilha1" displayName="Planilha1" ref="A1:J14" tableType="queryTable" totalsRowShown="0">
  <autoFilter ref="A1:J14" xr:uid="{097894FF-0D7D-4E10-8B62-CE7257194A90}"/>
  <tableColumns count="10">
    <tableColumn id="1" xr3:uid="{C4311F06-A14E-48D7-9A8F-5058630ACA83}" uniqueName="1" name="ID_Colaborador" queryTableFieldId="1"/>
    <tableColumn id="2" xr3:uid="{0797CE1E-A649-47BC-BDF8-C05431B31237}" uniqueName="2" name="Nome" queryTableFieldId="2" dataDxfId="111"/>
    <tableColumn id="3" xr3:uid="{F78AA414-9505-45A3-8632-C9161B705172}" uniqueName="3" name="Data_Admissao" queryTableFieldId="3" dataDxfId="110"/>
    <tableColumn id="4" xr3:uid="{1241307C-00CF-4375-BEE7-9DC179BC2FFC}" uniqueName="4" name="Cargo" queryTableFieldId="4" dataDxfId="109"/>
    <tableColumn id="5" xr3:uid="{30D90768-38CD-4B47-8CF0-9D6B734CF82A}" uniqueName="5" name="Nivel" queryTableFieldId="5" dataDxfId="108"/>
    <tableColumn id="6" xr3:uid="{1B428385-3608-4D9F-91D9-093C38C085A0}" uniqueName="6" name="Departamento" queryTableFieldId="6" dataDxfId="107"/>
    <tableColumn id="7" xr3:uid="{DAA440EC-1F13-4CC3-B1C9-62911552482E}" uniqueName="7" name="Salario_Base" queryTableFieldId="7"/>
    <tableColumn id="8" xr3:uid="{7F292BA8-03B7-4F7D-8459-AFA96A1A1197}" uniqueName="8" name="Regiao" queryTableFieldId="8" dataDxfId="106"/>
    <tableColumn id="9" xr3:uid="{FE3ADC27-04AE-4BDC-93CD-F112484B2B3B}" uniqueName="9" name="Status" queryTableFieldId="9" dataDxfId="105"/>
    <tableColumn id="10" xr3:uid="{98BDAB4A-60C2-4771-92FE-85CA952EAC7E}" uniqueName="10" name="Avaliacao_Desempenh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cols>
    <col min="1" max="1" width="45" customWidth="1"/>
    <col min="2" max="2" width="95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B5" s="4" t="s">
        <v>3</v>
      </c>
    </row>
    <row r="6" spans="1:2" x14ac:dyDescent="0.3">
      <c r="B6" s="4" t="s">
        <v>4</v>
      </c>
    </row>
    <row r="7" spans="1:2" x14ac:dyDescent="0.3">
      <c r="B7" s="4" t="s">
        <v>5</v>
      </c>
    </row>
    <row r="8" spans="1:2" x14ac:dyDescent="0.3">
      <c r="B8" s="4" t="s">
        <v>6</v>
      </c>
    </row>
    <row r="9" spans="1:2" x14ac:dyDescent="0.3">
      <c r="B9" s="4" t="s">
        <v>7</v>
      </c>
    </row>
    <row r="10" spans="1:2" x14ac:dyDescent="0.3">
      <c r="B10" s="4" t="s">
        <v>8</v>
      </c>
    </row>
    <row r="11" spans="1:2" x14ac:dyDescent="0.3">
      <c r="A11" s="3" t="s">
        <v>9</v>
      </c>
    </row>
    <row r="12" spans="1:2" x14ac:dyDescent="0.3">
      <c r="B12" s="4" t="s">
        <v>10</v>
      </c>
    </row>
    <row r="13" spans="1:2" x14ac:dyDescent="0.3">
      <c r="B13" s="4" t="s">
        <v>11</v>
      </c>
    </row>
    <row r="14" spans="1:2" x14ac:dyDescent="0.3">
      <c r="B14" s="4" t="s">
        <v>12</v>
      </c>
    </row>
    <row r="15" spans="1:2" x14ac:dyDescent="0.3">
      <c r="A15" s="3" t="s">
        <v>13</v>
      </c>
    </row>
    <row r="16" spans="1:2" x14ac:dyDescent="0.3">
      <c r="B16" s="4" t="s">
        <v>14</v>
      </c>
    </row>
    <row r="17" spans="1:2" x14ac:dyDescent="0.3">
      <c r="B17" s="4" t="s">
        <v>15</v>
      </c>
    </row>
    <row r="18" spans="1:2" x14ac:dyDescent="0.3">
      <c r="B18" s="4" t="s">
        <v>16</v>
      </c>
    </row>
    <row r="19" spans="1:2" x14ac:dyDescent="0.3">
      <c r="B19" s="4" t="s">
        <v>17</v>
      </c>
    </row>
    <row r="20" spans="1:2" x14ac:dyDescent="0.3">
      <c r="A20" s="3" t="s">
        <v>18</v>
      </c>
    </row>
    <row r="21" spans="1:2" x14ac:dyDescent="0.3">
      <c r="B21" s="4" t="s">
        <v>19</v>
      </c>
    </row>
    <row r="22" spans="1:2" x14ac:dyDescent="0.3">
      <c r="A22" s="3" t="s">
        <v>20</v>
      </c>
    </row>
    <row r="23" spans="1:2" x14ac:dyDescent="0.3">
      <c r="B23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73FC-F635-40A2-BE4F-CCDE0FC76401}">
  <dimension ref="A1:J14"/>
  <sheetViews>
    <sheetView workbookViewId="0">
      <selection activeCell="I7" sqref="I7"/>
    </sheetView>
  </sheetViews>
  <sheetFormatPr defaultRowHeight="14.4" x14ac:dyDescent="0.3"/>
  <cols>
    <col min="1" max="1" width="16.5546875" bestFit="1" customWidth="1"/>
    <col min="2" max="2" width="15.109375" bestFit="1" customWidth="1"/>
    <col min="3" max="3" width="16.33203125" bestFit="1" customWidth="1"/>
    <col min="4" max="4" width="21.33203125" bestFit="1" customWidth="1"/>
    <col min="5" max="5" width="8.21875" bestFit="1" customWidth="1"/>
    <col min="6" max="6" width="16.5546875" bestFit="1" customWidth="1"/>
    <col min="7" max="7" width="13.77734375" bestFit="1" customWidth="1"/>
    <col min="8" max="8" width="12.44140625" bestFit="1" customWidth="1"/>
    <col min="10" max="10" width="23.77734375" bestFit="1" customWidth="1"/>
  </cols>
  <sheetData>
    <row r="1" spans="1:10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3">
      <c r="A2">
        <v>101</v>
      </c>
      <c r="B2" s="5" t="s">
        <v>32</v>
      </c>
      <c r="C2" s="6">
        <v>44635</v>
      </c>
      <c r="D2" s="5" t="s">
        <v>33</v>
      </c>
      <c r="E2" s="5" t="s">
        <v>34</v>
      </c>
      <c r="F2" s="5" t="s">
        <v>35</v>
      </c>
      <c r="G2">
        <v>6500</v>
      </c>
      <c r="H2" s="5" t="s">
        <v>36</v>
      </c>
      <c r="I2" s="5" t="s">
        <v>37</v>
      </c>
      <c r="J2">
        <v>4.2</v>
      </c>
    </row>
    <row r="3" spans="1:10" x14ac:dyDescent="0.3">
      <c r="A3">
        <v>102</v>
      </c>
      <c r="B3" s="5" t="s">
        <v>38</v>
      </c>
      <c r="C3" s="6">
        <v>44936</v>
      </c>
      <c r="D3" s="5" t="s">
        <v>39</v>
      </c>
      <c r="E3" s="5" t="s">
        <v>40</v>
      </c>
      <c r="F3" s="5" t="s">
        <v>41</v>
      </c>
      <c r="G3">
        <v>9500</v>
      </c>
      <c r="H3" s="5" t="s">
        <v>42</v>
      </c>
      <c r="I3" s="5" t="s">
        <v>37</v>
      </c>
      <c r="J3">
        <v>4.8</v>
      </c>
    </row>
    <row r="4" spans="1:10" x14ac:dyDescent="0.3">
      <c r="A4">
        <v>103</v>
      </c>
      <c r="B4" s="5" t="s">
        <v>43</v>
      </c>
      <c r="C4" s="6">
        <v>44334</v>
      </c>
      <c r="D4" s="5" t="s">
        <v>44</v>
      </c>
      <c r="E4" s="5" t="s">
        <v>34</v>
      </c>
      <c r="F4" s="5" t="s">
        <v>35</v>
      </c>
      <c r="G4">
        <v>7200</v>
      </c>
      <c r="H4" s="5" t="s">
        <v>45</v>
      </c>
      <c r="I4" s="5" t="s">
        <v>37</v>
      </c>
      <c r="J4">
        <v>3.9</v>
      </c>
    </row>
    <row r="5" spans="1:10" x14ac:dyDescent="0.3">
      <c r="A5">
        <v>104</v>
      </c>
      <c r="B5" s="5" t="s">
        <v>46</v>
      </c>
      <c r="C5" s="6">
        <v>45323</v>
      </c>
      <c r="D5" s="5" t="s">
        <v>47</v>
      </c>
      <c r="E5" s="5" t="s">
        <v>48</v>
      </c>
      <c r="F5" s="5" t="s">
        <v>49</v>
      </c>
      <c r="G5">
        <v>4500</v>
      </c>
      <c r="H5" s="5" t="s">
        <v>36</v>
      </c>
      <c r="I5" s="5" t="s">
        <v>37</v>
      </c>
      <c r="J5">
        <v>4</v>
      </c>
    </row>
    <row r="6" spans="1:10" x14ac:dyDescent="0.3">
      <c r="A6">
        <v>105</v>
      </c>
      <c r="B6" s="5" t="s">
        <v>50</v>
      </c>
      <c r="C6" s="6">
        <v>44155</v>
      </c>
      <c r="D6" s="5" t="s">
        <v>51</v>
      </c>
      <c r="E6" s="5" t="s">
        <v>40</v>
      </c>
      <c r="F6" s="5" t="s">
        <v>52</v>
      </c>
      <c r="G6">
        <v>12000</v>
      </c>
      <c r="H6" s="5" t="s">
        <v>53</v>
      </c>
      <c r="I6" s="5" t="s">
        <v>37</v>
      </c>
      <c r="J6">
        <v>4.5</v>
      </c>
    </row>
    <row r="7" spans="1:10" x14ac:dyDescent="0.3">
      <c r="A7">
        <v>106</v>
      </c>
      <c r="B7" s="5" t="s">
        <v>54</v>
      </c>
      <c r="C7" s="6">
        <v>45108</v>
      </c>
      <c r="D7" s="5" t="s">
        <v>55</v>
      </c>
      <c r="E7" s="5" t="s">
        <v>48</v>
      </c>
      <c r="F7" s="5" t="s">
        <v>56</v>
      </c>
      <c r="G7">
        <v>2800</v>
      </c>
      <c r="H7" s="5" t="s">
        <v>53</v>
      </c>
      <c r="I7" s="5" t="s">
        <v>57</v>
      </c>
      <c r="J7">
        <v>3.5</v>
      </c>
    </row>
    <row r="8" spans="1:10" x14ac:dyDescent="0.3">
      <c r="A8">
        <v>107</v>
      </c>
      <c r="B8" s="5" t="s">
        <v>58</v>
      </c>
      <c r="C8" s="6">
        <v>45672</v>
      </c>
      <c r="D8" s="5" t="s">
        <v>33</v>
      </c>
      <c r="E8" s="5" t="s">
        <v>48</v>
      </c>
      <c r="F8" s="5" t="s">
        <v>35</v>
      </c>
      <c r="G8">
        <v>4200</v>
      </c>
      <c r="H8" s="5" t="s">
        <v>36</v>
      </c>
      <c r="I8" s="5" t="s">
        <v>37</v>
      </c>
      <c r="J8">
        <v>4.0999999999999996</v>
      </c>
    </row>
    <row r="9" spans="1:10" x14ac:dyDescent="0.3">
      <c r="A9">
        <v>108</v>
      </c>
      <c r="B9" s="5" t="s">
        <v>59</v>
      </c>
      <c r="C9" s="6">
        <v>44444</v>
      </c>
      <c r="D9" s="5" t="s">
        <v>60</v>
      </c>
      <c r="E9" s="5" t="s">
        <v>34</v>
      </c>
      <c r="F9" s="5" t="s">
        <v>61</v>
      </c>
      <c r="G9">
        <v>5800</v>
      </c>
      <c r="H9" s="5" t="s">
        <v>42</v>
      </c>
      <c r="I9" s="5" t="s">
        <v>37</v>
      </c>
      <c r="J9">
        <v>4.5999999999999996</v>
      </c>
    </row>
    <row r="10" spans="1:10" x14ac:dyDescent="0.3">
      <c r="A10">
        <v>109</v>
      </c>
      <c r="B10" s="5" t="s">
        <v>62</v>
      </c>
      <c r="C10" s="6">
        <v>44877</v>
      </c>
      <c r="D10" s="5" t="s">
        <v>63</v>
      </c>
      <c r="E10" s="5" t="s">
        <v>34</v>
      </c>
      <c r="F10" s="5" t="s">
        <v>41</v>
      </c>
      <c r="G10">
        <v>5000</v>
      </c>
      <c r="H10" s="5" t="s">
        <v>45</v>
      </c>
      <c r="I10" s="5" t="s">
        <v>37</v>
      </c>
      <c r="J10">
        <v>4.3</v>
      </c>
    </row>
    <row r="11" spans="1:10" x14ac:dyDescent="0.3">
      <c r="A11">
        <v>110</v>
      </c>
      <c r="B11" s="5" t="s">
        <v>64</v>
      </c>
      <c r="C11" s="6">
        <v>45384</v>
      </c>
      <c r="D11" s="5" t="s">
        <v>44</v>
      </c>
      <c r="E11" s="5" t="s">
        <v>48</v>
      </c>
      <c r="F11" s="5" t="s">
        <v>35</v>
      </c>
      <c r="G11">
        <v>4200</v>
      </c>
      <c r="H11" s="5" t="s">
        <v>36</v>
      </c>
      <c r="I11" s="5" t="s">
        <v>37</v>
      </c>
      <c r="J11">
        <v>3.8</v>
      </c>
    </row>
    <row r="12" spans="1:10" x14ac:dyDescent="0.3">
      <c r="A12">
        <v>111</v>
      </c>
      <c r="B12" s="5" t="s">
        <v>65</v>
      </c>
      <c r="C12" s="6">
        <v>45005</v>
      </c>
      <c r="D12" s="5" t="s">
        <v>66</v>
      </c>
      <c r="E12" s="5" t="s">
        <v>40</v>
      </c>
      <c r="F12" s="5" t="s">
        <v>61</v>
      </c>
      <c r="G12">
        <v>8900</v>
      </c>
      <c r="H12" s="5" t="s">
        <v>53</v>
      </c>
      <c r="I12" s="5" t="s">
        <v>37</v>
      </c>
      <c r="J12">
        <v>4.7</v>
      </c>
    </row>
    <row r="13" spans="1:10" x14ac:dyDescent="0.3">
      <c r="A13">
        <v>112</v>
      </c>
      <c r="B13" s="5" t="s">
        <v>67</v>
      </c>
      <c r="C13" s="6">
        <v>43969</v>
      </c>
      <c r="D13" s="5" t="s">
        <v>68</v>
      </c>
      <c r="E13" s="5" t="s">
        <v>69</v>
      </c>
      <c r="F13" s="5" t="s">
        <v>52</v>
      </c>
      <c r="G13">
        <v>18000</v>
      </c>
      <c r="H13" s="5" t="s">
        <v>36</v>
      </c>
      <c r="I13" s="5" t="s">
        <v>37</v>
      </c>
      <c r="J13">
        <v>4.9000000000000004</v>
      </c>
    </row>
    <row r="14" spans="1:10" x14ac:dyDescent="0.3">
      <c r="A14">
        <v>113</v>
      </c>
      <c r="B14" s="5" t="s">
        <v>70</v>
      </c>
      <c r="C14" s="6">
        <v>45515</v>
      </c>
      <c r="D14" s="5" t="s">
        <v>55</v>
      </c>
      <c r="E14" s="5" t="s">
        <v>48</v>
      </c>
      <c r="F14" s="5" t="s">
        <v>56</v>
      </c>
      <c r="G14">
        <v>2800</v>
      </c>
      <c r="H14" s="5" t="s">
        <v>42</v>
      </c>
      <c r="I14" s="5" t="s">
        <v>37</v>
      </c>
      <c r="J14">
        <v>3.7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621B-4A06-4A31-A6B9-91D6660A70BD}">
  <dimension ref="B3:H17"/>
  <sheetViews>
    <sheetView showGridLines="0" tabSelected="1" zoomScale="80" zoomScaleNormal="80" workbookViewId="0">
      <selection activeCell="M8" sqref="M8"/>
    </sheetView>
  </sheetViews>
  <sheetFormatPr defaultRowHeight="14.4" x14ac:dyDescent="0.3"/>
  <cols>
    <col min="2" max="2" width="17.21875" bestFit="1" customWidth="1"/>
    <col min="3" max="3" width="24.88671875" customWidth="1"/>
    <col min="4" max="4" width="26.44140625" customWidth="1"/>
    <col min="5" max="5" width="26.88671875" bestFit="1" customWidth="1"/>
    <col min="6" max="6" width="33.44140625" bestFit="1" customWidth="1"/>
    <col min="7" max="7" width="17.21875" bestFit="1" customWidth="1"/>
    <col min="8" max="8" width="19.5546875" bestFit="1" customWidth="1"/>
  </cols>
  <sheetData>
    <row r="3" spans="2:8" ht="21" x14ac:dyDescent="0.4">
      <c r="D3" s="15"/>
      <c r="E3" s="16" t="s">
        <v>73</v>
      </c>
      <c r="F3" s="15"/>
    </row>
    <row r="7" spans="2:8" ht="21" x14ac:dyDescent="0.4">
      <c r="C7" s="8" t="s">
        <v>71</v>
      </c>
      <c r="D7" s="9">
        <f>COUNTIF(Planilha1[Status],"Ativo")</f>
        <v>12</v>
      </c>
      <c r="F7" s="8" t="s">
        <v>72</v>
      </c>
      <c r="G7" s="9">
        <f>COUNTIF(Planilha1[Status],"Desligado")</f>
        <v>1</v>
      </c>
    </row>
    <row r="11" spans="2:8" x14ac:dyDescent="0.3">
      <c r="B11" s="17" t="s">
        <v>75</v>
      </c>
      <c r="C11" s="12" t="s">
        <v>76</v>
      </c>
      <c r="G11" s="10" t="s">
        <v>77</v>
      </c>
      <c r="H11" s="10" t="s">
        <v>78</v>
      </c>
    </row>
    <row r="12" spans="2:8" x14ac:dyDescent="0.3">
      <c r="B12" s="12" t="s">
        <v>49</v>
      </c>
      <c r="C12" s="13">
        <v>4500</v>
      </c>
      <c r="E12" s="7" t="s">
        <v>74</v>
      </c>
      <c r="G12" s="10" t="s">
        <v>45</v>
      </c>
      <c r="H12" s="11">
        <v>12200</v>
      </c>
    </row>
    <row r="13" spans="2:8" x14ac:dyDescent="0.3">
      <c r="B13" s="12" t="s">
        <v>56</v>
      </c>
      <c r="C13" s="13">
        <v>5600</v>
      </c>
      <c r="E13" s="14">
        <v>4.2307692307692308</v>
      </c>
      <c r="G13" s="10" t="s">
        <v>53</v>
      </c>
      <c r="H13" s="11">
        <v>23700</v>
      </c>
    </row>
    <row r="14" spans="2:8" x14ac:dyDescent="0.3">
      <c r="B14" s="12" t="s">
        <v>52</v>
      </c>
      <c r="C14" s="13">
        <v>30000</v>
      </c>
      <c r="G14" s="10" t="s">
        <v>42</v>
      </c>
      <c r="H14" s="11">
        <v>18100</v>
      </c>
    </row>
    <row r="15" spans="2:8" x14ac:dyDescent="0.3">
      <c r="B15" s="12" t="s">
        <v>61</v>
      </c>
      <c r="C15" s="13">
        <v>14700</v>
      </c>
      <c r="G15" s="10" t="s">
        <v>36</v>
      </c>
      <c r="H15" s="11">
        <v>37400</v>
      </c>
    </row>
    <row r="16" spans="2:8" x14ac:dyDescent="0.3">
      <c r="B16" s="12" t="s">
        <v>41</v>
      </c>
      <c r="C16" s="13">
        <v>14500</v>
      </c>
    </row>
    <row r="17" spans="2:3" x14ac:dyDescent="0.3">
      <c r="B17" s="12" t="s">
        <v>35</v>
      </c>
      <c r="C17" s="13">
        <v>22100</v>
      </c>
    </row>
  </sheetData>
  <pageMargins left="0.511811024" right="0.511811024" top="0.78740157499999996" bottom="0.78740157499999996" header="0.31496062000000002" footer="0.31496062000000002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9C52C2-2167-4F0A-9F1F-8D3230FDA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 do Desafio</vt:lpstr>
      <vt:lpstr>PLANILHA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Leticya Anielle</cp:lastModifiedBy>
  <dcterms:created xsi:type="dcterms:W3CDTF">2026-06-29T23:09:41Z</dcterms:created>
  <dcterms:modified xsi:type="dcterms:W3CDTF">2026-06-30T00:10:01Z</dcterms:modified>
</cp:coreProperties>
</file>